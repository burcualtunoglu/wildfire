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BBED7501-9D21-4366-9D8C-78F68D77BE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s_df" sheetId="1" r:id="rId1"/>
    <sheet name="bases" sheetId="4" r:id="rId2"/>
    <sheet name="parameters" sheetId="3" r:id="rId3"/>
  </sheets>
  <definedNames>
    <definedName name="_xlnm._FilterDatabase" localSheetId="0" hidden="1">inputs_df!$A$1:$J$37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10" i="1"/>
  <c r="J11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8" i="1"/>
  <c r="J29" i="1"/>
  <c r="J31" i="1"/>
  <c r="J32" i="1"/>
  <c r="J33" i="1"/>
  <c r="J34" i="1"/>
  <c r="J35" i="1"/>
  <c r="J36" i="1"/>
  <c r="J37" i="1"/>
  <c r="J2" i="1"/>
  <c r="I27" i="1" l="1"/>
  <c r="I28" i="1"/>
  <c r="I29" i="1"/>
  <c r="I30" i="1"/>
  <c r="I31" i="1"/>
  <c r="I32" i="1"/>
  <c r="I33" i="1"/>
  <c r="I34" i="1"/>
  <c r="I35" i="1"/>
  <c r="I36" i="1"/>
  <c r="I37" i="1"/>
  <c r="F27" i="1"/>
  <c r="F28" i="1"/>
  <c r="F29" i="1"/>
  <c r="F30" i="1"/>
  <c r="F31" i="1"/>
  <c r="F32" i="1"/>
  <c r="F33" i="1"/>
  <c r="F34" i="1"/>
  <c r="F35" i="1"/>
  <c r="F36" i="1"/>
  <c r="F37" i="1"/>
  <c r="I13" i="1" l="1"/>
  <c r="I3" i="1"/>
  <c r="I4" i="1"/>
  <c r="I5" i="1"/>
  <c r="I6" i="1"/>
  <c r="I7" i="1"/>
  <c r="I8" i="1"/>
  <c r="I9" i="1"/>
  <c r="I10" i="1"/>
  <c r="I11" i="1"/>
  <c r="I12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</calcChain>
</file>

<file path=xl/sharedStrings.xml><?xml version="1.0" encoding="utf-8"?>
<sst xmlns="http://schemas.openxmlformats.org/spreadsheetml/2006/main" count="71" uniqueCount="67">
  <si>
    <t>node_id</t>
  </si>
  <si>
    <t>x_coordinate</t>
  </si>
  <si>
    <t>y_coordinate</t>
  </si>
  <si>
    <t>value_at_start</t>
  </si>
  <si>
    <t>state</t>
  </si>
  <si>
    <t>fire_degradation_rate</t>
  </si>
  <si>
    <t>region_side_length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</si>
  <si>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</si>
  <si>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</si>
  <si>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</si>
  <si>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</si>
  <si>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</si>
  <si>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</si>
  <si>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</si>
  <si>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note</t>
  </si>
  <si>
    <t>required for MIP  for single_run and combination_run modes</t>
  </si>
  <si>
    <t>required for MIP for single_run and combination_run modes</t>
  </si>
  <si>
    <t>beta</t>
  </si>
  <si>
    <t>su</t>
  </si>
  <si>
    <t>water required (for 1km2-lt)</t>
  </si>
  <si>
    <t>Base</t>
  </si>
  <si>
    <t>A</t>
  </si>
  <si>
    <t xml:space="preserve">B </t>
  </si>
  <si>
    <t>C</t>
  </si>
  <si>
    <t>D</t>
  </si>
  <si>
    <t>E</t>
  </si>
  <si>
    <t>Helicopter</t>
  </si>
  <si>
    <t>Fire Engine</t>
  </si>
  <si>
    <t>FRV</t>
  </si>
  <si>
    <t>helicopter_capacity</t>
  </si>
  <si>
    <t>helicopter_speed</t>
  </si>
  <si>
    <t>fire_engine_capacity</t>
  </si>
  <si>
    <t>fire_engine_speed</t>
  </si>
  <si>
    <t>FRV_capacity</t>
  </si>
  <si>
    <t>FRV_speed</t>
  </si>
  <si>
    <t>[10,15,17,22]</t>
  </si>
  <si>
    <t>[16,21,23,28]</t>
  </si>
  <si>
    <t>[2,7]</t>
  </si>
  <si>
    <t>[5,12]</t>
  </si>
  <si>
    <t>[7,14,19]</t>
  </si>
  <si>
    <t>[13,20,25]</t>
  </si>
  <si>
    <t>[18,23,30]</t>
  </si>
  <si>
    <t>[25,32]</t>
  </si>
  <si>
    <t>[27,32,34]</t>
  </si>
  <si>
    <t>[28,33,35]</t>
  </si>
  <si>
    <t>[30,35]</t>
  </si>
  <si>
    <t>[4,6]</t>
  </si>
  <si>
    <t>[1,13]</t>
  </si>
  <si>
    <t>[4,9,16]</t>
  </si>
  <si>
    <t>[6,18]</t>
  </si>
  <si>
    <t>[17,22,24]</t>
  </si>
  <si>
    <t>[21,28,33]</t>
  </si>
  <si>
    <t>[22,27,34]</t>
  </si>
  <si>
    <t>[24,36]</t>
  </si>
  <si>
    <t>[31,33]</t>
  </si>
  <si>
    <t>[34,36]</t>
  </si>
  <si>
    <t>[3,10,15]</t>
  </si>
  <si>
    <t>[19,31]</t>
  </si>
  <si>
    <t>[1]</t>
  </si>
  <si>
    <t>[4]</t>
  </si>
  <si>
    <t>[3,5]</t>
  </si>
  <si>
    <t>[13,20]</t>
  </si>
  <si>
    <t>[9,16,21]</t>
  </si>
  <si>
    <t>[14,19]</t>
  </si>
  <si>
    <t>[15,22,27]</t>
  </si>
  <si>
    <t>[16,18]</t>
  </si>
  <si>
    <t>[12,17]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</si>
</sst>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color rgb="FF067D17"/>
      <name val="JetBrains Mono"/>
      <family val="3"/>
    </font>
    <font>
      <sz val="11"/>
      <color theme="1"/>
      <name val="Times New Roman"/>
      <family val="1"/>
      <charset val="162"/>
    </font>
    <font>
      <sz val="10"/>
      <color rgb="FF444746"/>
      <name val="Google Sans Text"/>
      <family val="2"/>
    </font>
    <font>
      <sz val="10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2" borderId="0" xfId="0" applyFill="1"/>
    <xf numFmtId="164" fontId="0" fillId="0" borderId="0" xfId="0" applyNumberFormat="1" applyAlignment="1">
      <alignment horizontal="right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H11" sqref="H11"/>
    </sheetView>
  </sheetViews>
  <sheetFormatPr defaultRowHeight="14.4"/>
  <cols>
    <col min="1" max="1" width="7.5546875" style="1" customWidth="1"/>
    <col min="2" max="3" width="11.6640625" style="1" customWidth="1"/>
    <col min="4" max="4" width="18.109375" style="1" customWidth="1"/>
    <col min="5" max="5" width="21.109375" style="1" customWidth="1"/>
    <col min="6" max="6" width="19.6640625" style="1" customWidth="1"/>
    <col min="7" max="7" width="12.33203125" style="1" customWidth="1"/>
    <col min="8" max="8" width="15.6640625" style="1" customWidth="1"/>
    <col min="9" max="9" width="8.88671875" customWidth="1"/>
    <col min="10" max="10" width="11" bestFit="1" customWidth="1"/>
  </cols>
  <sheetData>
    <row r="1" spans="1:10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9</v>
      </c>
      <c r="G1" s="1" t="s">
        <v>4</v>
      </c>
      <c r="H1" s="1" t="s">
        <v>10</v>
      </c>
      <c r="I1" s="1" t="s">
        <v>17</v>
      </c>
      <c r="J1" s="1" t="s">
        <v>18</v>
      </c>
    </row>
    <row r="2" spans="1:10" ht="15" thickBot="1">
      <c r="A2" s="6">
        <v>1</v>
      </c>
      <c r="B2" s="6">
        <v>0.5</v>
      </c>
      <c r="C2" s="6">
        <v>0.5</v>
      </c>
      <c r="D2" s="8">
        <v>21</v>
      </c>
      <c r="E2" s="8">
        <v>20.69</v>
      </c>
      <c r="F2" s="4">
        <f>E2*70/100</f>
        <v>14.483000000000002</v>
      </c>
      <c r="G2" s="1">
        <v>0</v>
      </c>
      <c r="H2" s="7" t="s">
        <v>37</v>
      </c>
      <c r="I2" s="1">
        <f>(D2/parameters!$B$4)*inputs_df!E2</f>
        <v>4.3449E-4</v>
      </c>
      <c r="J2">
        <f>(parameters!$B$4*parameters!$B$6)/(parameters!$B$3/inputs_df!E2)</f>
        <v>1503004360.0000002</v>
      </c>
    </row>
    <row r="3" spans="1:10" ht="15" thickBot="1">
      <c r="A3" s="6">
        <v>2</v>
      </c>
      <c r="B3" s="6">
        <v>1.5</v>
      </c>
      <c r="C3" s="6">
        <v>0.5</v>
      </c>
      <c r="D3" s="8">
        <v>41</v>
      </c>
      <c r="E3" s="8">
        <v>12.11</v>
      </c>
      <c r="F3" s="4">
        <f t="shared" ref="F3:F37" si="0">E3*70/100</f>
        <v>8.4769999999999985</v>
      </c>
      <c r="G3" s="1">
        <v>0</v>
      </c>
      <c r="H3" s="7" t="s">
        <v>58</v>
      </c>
      <c r="I3" s="1">
        <f>(D3/parameters!$B$4)*inputs_df!E3</f>
        <v>4.9651000000000003E-4</v>
      </c>
      <c r="J3">
        <f>(parameters!$B$4*parameters!$B$6)/(parameters!$B$3/inputs_df!E3)</f>
        <v>879718840</v>
      </c>
    </row>
    <row r="4" spans="1:10" ht="15" thickBot="1">
      <c r="A4" s="6">
        <v>3</v>
      </c>
      <c r="B4" s="6">
        <v>2.5</v>
      </c>
      <c r="C4" s="6">
        <v>0.5</v>
      </c>
      <c r="D4" s="8">
        <v>60</v>
      </c>
      <c r="E4" s="8">
        <v>8.94</v>
      </c>
      <c r="F4" s="4">
        <f t="shared" si="0"/>
        <v>6.2579999999999991</v>
      </c>
      <c r="G4" s="1">
        <v>0</v>
      </c>
      <c r="H4" s="7" t="s">
        <v>59</v>
      </c>
      <c r="I4" s="1">
        <f>(D4/parameters!$B$4)*inputs_df!E4</f>
        <v>5.3640000000000003E-4</v>
      </c>
      <c r="J4">
        <f>(parameters!$B$4*parameters!$B$6)/(parameters!$B$3/inputs_df!E4)</f>
        <v>649437359.99999988</v>
      </c>
    </row>
    <row r="5" spans="1:10" ht="15" thickBot="1">
      <c r="A5" s="6">
        <v>4</v>
      </c>
      <c r="B5" s="6">
        <v>3.5</v>
      </c>
      <c r="C5" s="6">
        <v>0.5</v>
      </c>
      <c r="D5" s="8">
        <v>60</v>
      </c>
      <c r="E5" s="8">
        <v>8.94</v>
      </c>
      <c r="F5" s="4">
        <f t="shared" si="0"/>
        <v>6.2579999999999991</v>
      </c>
      <c r="G5" s="1">
        <v>1</v>
      </c>
      <c r="H5" s="7" t="s">
        <v>60</v>
      </c>
      <c r="I5" s="1">
        <f>(D5/parameters!$B$4)*inputs_df!E5</f>
        <v>5.3640000000000003E-4</v>
      </c>
      <c r="J5">
        <f>(parameters!$B$4*parameters!$B$6)/(parameters!$B$3/inputs_df!E5)</f>
        <v>649437359.99999988</v>
      </c>
    </row>
    <row r="6" spans="1:10" ht="15" thickBot="1">
      <c r="A6" s="6">
        <v>5</v>
      </c>
      <c r="B6" s="6">
        <v>4.5</v>
      </c>
      <c r="C6" s="6">
        <v>0.5</v>
      </c>
      <c r="D6" s="8">
        <v>41</v>
      </c>
      <c r="E6" s="8">
        <v>15.98</v>
      </c>
      <c r="F6" s="4">
        <f t="shared" si="0"/>
        <v>11.186000000000002</v>
      </c>
      <c r="G6" s="1">
        <v>0</v>
      </c>
      <c r="H6" s="7" t="s">
        <v>46</v>
      </c>
      <c r="I6" s="1">
        <f>(D6/parameters!$B$4)*inputs_df!E6</f>
        <v>6.5518E-4</v>
      </c>
      <c r="J6">
        <f>(parameters!$B$4*parameters!$B$6)/(parameters!$B$3/inputs_df!E6)</f>
        <v>1160851120</v>
      </c>
    </row>
    <row r="7" spans="1:10" ht="15" thickBot="1">
      <c r="A7" s="6">
        <v>6</v>
      </c>
      <c r="B7" s="6">
        <v>5.5</v>
      </c>
      <c r="C7" s="6">
        <v>0.5</v>
      </c>
      <c r="D7" s="8">
        <v>21</v>
      </c>
      <c r="E7" s="8">
        <v>20.69</v>
      </c>
      <c r="F7" s="4">
        <f t="shared" si="0"/>
        <v>14.483000000000002</v>
      </c>
      <c r="G7" s="1">
        <v>0</v>
      </c>
      <c r="H7" s="7" t="s">
        <v>38</v>
      </c>
      <c r="I7" s="1">
        <f>(D7/parameters!$B$4)*inputs_df!E7</f>
        <v>4.3449E-4</v>
      </c>
      <c r="J7">
        <f>(parameters!$B$4*parameters!$B$6)/(parameters!$B$3/inputs_df!E7)</f>
        <v>1503004360.0000002</v>
      </c>
    </row>
    <row r="8" spans="1:10" ht="15" thickBot="1">
      <c r="A8" s="6">
        <v>7</v>
      </c>
      <c r="B8" s="6">
        <v>0.5</v>
      </c>
      <c r="C8" s="6">
        <v>1.5</v>
      </c>
      <c r="D8" s="8">
        <v>41</v>
      </c>
      <c r="E8" s="8">
        <v>12.11</v>
      </c>
      <c r="F8" s="4">
        <f t="shared" si="0"/>
        <v>8.4769999999999985</v>
      </c>
      <c r="G8" s="1">
        <v>1</v>
      </c>
      <c r="H8" s="7" t="s">
        <v>47</v>
      </c>
      <c r="I8" s="1">
        <f>(D8/parameters!$B$4)*inputs_df!E8</f>
        <v>4.9651000000000003E-4</v>
      </c>
      <c r="J8">
        <f>(parameters!$B$4*parameters!$B$6)/(parameters!$B$3/inputs_df!E8)</f>
        <v>879718840</v>
      </c>
    </row>
    <row r="9" spans="1:10" ht="15" thickBot="1">
      <c r="A9" s="6">
        <v>8</v>
      </c>
      <c r="B9" s="6">
        <v>1.5</v>
      </c>
      <c r="C9" s="6">
        <v>1.5</v>
      </c>
      <c r="D9" s="8">
        <v>0</v>
      </c>
      <c r="E9" s="8">
        <v>0</v>
      </c>
      <c r="F9" s="4">
        <f t="shared" si="0"/>
        <v>0</v>
      </c>
      <c r="G9" s="1">
        <v>2</v>
      </c>
      <c r="H9" s="7"/>
      <c r="I9" s="1">
        <f>(D9/parameters!$B$4)*inputs_df!E9</f>
        <v>0</v>
      </c>
      <c r="J9">
        <v>0</v>
      </c>
    </row>
    <row r="10" spans="1:10" ht="15" thickBot="1">
      <c r="A10" s="6">
        <v>9</v>
      </c>
      <c r="B10" s="6">
        <v>2.5</v>
      </c>
      <c r="C10" s="6">
        <v>1.5</v>
      </c>
      <c r="D10" s="8">
        <v>88</v>
      </c>
      <c r="E10" s="8">
        <v>1.25</v>
      </c>
      <c r="F10" s="4">
        <f t="shared" si="0"/>
        <v>0.875</v>
      </c>
      <c r="G10" s="1">
        <v>0</v>
      </c>
      <c r="H10" s="7" t="s">
        <v>56</v>
      </c>
      <c r="I10" s="1">
        <f>(D10/parameters!$B$4)*inputs_df!E10</f>
        <v>1.0999999999999999E-4</v>
      </c>
      <c r="J10">
        <f>(parameters!$B$4*parameters!$B$6)/(parameters!$B$3/inputs_df!E10)</f>
        <v>90805000</v>
      </c>
    </row>
    <row r="11" spans="1:10" ht="15" thickBot="1">
      <c r="A11" s="6">
        <v>10</v>
      </c>
      <c r="B11" s="6">
        <v>3.5</v>
      </c>
      <c r="C11" s="6">
        <v>1.5</v>
      </c>
      <c r="D11" s="8">
        <v>88</v>
      </c>
      <c r="E11" s="8">
        <v>2.2200000000000002</v>
      </c>
      <c r="F11" s="4">
        <f t="shared" si="0"/>
        <v>1.554</v>
      </c>
      <c r="G11" s="1">
        <v>0</v>
      </c>
      <c r="H11" s="7" t="s">
        <v>48</v>
      </c>
      <c r="I11" s="1">
        <f>(D11/parameters!$B$4)*inputs_df!E11</f>
        <v>1.9536E-4</v>
      </c>
      <c r="J11">
        <f>(parameters!$B$4*parameters!$B$6)/(parameters!$B$3/inputs_df!E11)</f>
        <v>161269680</v>
      </c>
    </row>
    <row r="12" spans="1:10" ht="15" thickBot="1">
      <c r="A12" s="6">
        <v>11</v>
      </c>
      <c r="B12" s="6">
        <v>4.5</v>
      </c>
      <c r="C12" s="6">
        <v>1.5</v>
      </c>
      <c r="D12" s="8">
        <v>0</v>
      </c>
      <c r="E12" s="8">
        <v>0</v>
      </c>
      <c r="F12" s="4">
        <f t="shared" si="0"/>
        <v>0</v>
      </c>
      <c r="G12" s="1">
        <v>2</v>
      </c>
      <c r="H12" s="7"/>
      <c r="I12" s="1">
        <f>(D12/parameters!$B$4)*inputs_df!E12</f>
        <v>0</v>
      </c>
      <c r="J12">
        <v>0</v>
      </c>
    </row>
    <row r="13" spans="1:10" ht="15" thickBot="1">
      <c r="A13" s="6">
        <v>12</v>
      </c>
      <c r="B13" s="6">
        <v>5.5</v>
      </c>
      <c r="C13" s="6">
        <v>1.5</v>
      </c>
      <c r="D13" s="8">
        <v>41</v>
      </c>
      <c r="E13" s="8">
        <v>12.11</v>
      </c>
      <c r="F13" s="4">
        <f t="shared" si="0"/>
        <v>8.4769999999999985</v>
      </c>
      <c r="G13" s="1">
        <v>0</v>
      </c>
      <c r="H13" s="7" t="s">
        <v>49</v>
      </c>
      <c r="I13" s="1">
        <f>(D13/parameters!$B$4)*inputs_df!E13</f>
        <v>4.9651000000000003E-4</v>
      </c>
      <c r="J13">
        <f>(parameters!$B$4*parameters!$B$6)/(parameters!$B$3/inputs_df!E13)</f>
        <v>879718840</v>
      </c>
    </row>
    <row r="14" spans="1:10" ht="15" thickBot="1">
      <c r="A14" s="6">
        <v>13</v>
      </c>
      <c r="B14" s="6">
        <v>0.5</v>
      </c>
      <c r="C14" s="6">
        <v>2.5</v>
      </c>
      <c r="D14" s="8">
        <v>60</v>
      </c>
      <c r="E14" s="8">
        <v>8.94</v>
      </c>
      <c r="F14" s="4">
        <f t="shared" si="0"/>
        <v>6.2579999999999991</v>
      </c>
      <c r="G14" s="1">
        <v>0</v>
      </c>
      <c r="H14" s="7" t="s">
        <v>39</v>
      </c>
      <c r="I14" s="1">
        <f>(D14/parameters!$B$4)*inputs_df!E14</f>
        <v>5.3640000000000003E-4</v>
      </c>
      <c r="J14">
        <f>(parameters!$B$4*parameters!$B$6)/(parameters!$B$3/inputs_df!E14)</f>
        <v>649437359.99999988</v>
      </c>
    </row>
    <row r="15" spans="1:10" ht="15" thickBot="1">
      <c r="A15" s="6">
        <v>14</v>
      </c>
      <c r="B15" s="6">
        <v>1.5</v>
      </c>
      <c r="C15" s="6">
        <v>2.5</v>
      </c>
      <c r="D15" s="8">
        <v>88</v>
      </c>
      <c r="E15" s="8">
        <v>1.25</v>
      </c>
      <c r="F15" s="4">
        <f t="shared" si="0"/>
        <v>0.875</v>
      </c>
      <c r="G15" s="1">
        <v>0</v>
      </c>
      <c r="H15" s="7" t="s">
        <v>61</v>
      </c>
      <c r="I15" s="1">
        <f>(D15/parameters!$B$4)*inputs_df!E15</f>
        <v>1.0999999999999999E-4</v>
      </c>
      <c r="J15">
        <f>(parameters!$B$4*parameters!$B$6)/(parameters!$B$3/inputs_df!E15)</f>
        <v>90805000</v>
      </c>
    </row>
    <row r="16" spans="1:10" ht="15" thickBot="1">
      <c r="A16" s="6">
        <v>15</v>
      </c>
      <c r="B16" s="6">
        <v>2.5</v>
      </c>
      <c r="C16" s="6">
        <v>2.5</v>
      </c>
      <c r="D16" s="8">
        <v>98</v>
      </c>
      <c r="E16" s="8">
        <v>0.28999999999999998</v>
      </c>
      <c r="F16" s="4">
        <f t="shared" si="0"/>
        <v>0.20299999999999996</v>
      </c>
      <c r="G16" s="1">
        <v>1</v>
      </c>
      <c r="H16" s="7" t="s">
        <v>62</v>
      </c>
      <c r="I16" s="1">
        <f>(D16/parameters!$B$4)*inputs_df!E16</f>
        <v>2.8419999999999996E-5</v>
      </c>
      <c r="J16">
        <f>(parameters!$B$4*parameters!$B$6)/(parameters!$B$3/inputs_df!E16)</f>
        <v>21066760</v>
      </c>
    </row>
    <row r="17" spans="1:10" ht="15" thickBot="1">
      <c r="A17" s="6">
        <v>16</v>
      </c>
      <c r="B17" s="6">
        <v>3.5</v>
      </c>
      <c r="C17" s="6">
        <v>2.5</v>
      </c>
      <c r="D17" s="8">
        <v>98</v>
      </c>
      <c r="E17" s="8">
        <v>0.28999999999999998</v>
      </c>
      <c r="F17" s="4">
        <f t="shared" si="0"/>
        <v>0.20299999999999996</v>
      </c>
      <c r="G17" s="1">
        <v>0</v>
      </c>
      <c r="H17" s="7" t="s">
        <v>35</v>
      </c>
      <c r="I17" s="1">
        <f>(D17/parameters!$B$4)*inputs_df!E17</f>
        <v>2.8419999999999996E-5</v>
      </c>
      <c r="J17">
        <f>(parameters!$B$4*parameters!$B$6)/(parameters!$B$3/inputs_df!E17)</f>
        <v>21066760</v>
      </c>
    </row>
    <row r="18" spans="1:10" ht="15" thickBot="1">
      <c r="A18" s="6">
        <v>17</v>
      </c>
      <c r="B18" s="6">
        <v>4.5</v>
      </c>
      <c r="C18" s="6">
        <v>2.5</v>
      </c>
      <c r="D18" s="8">
        <v>88</v>
      </c>
      <c r="E18" s="8">
        <v>2.2200000000000002</v>
      </c>
      <c r="F18" s="4">
        <f t="shared" si="0"/>
        <v>1.554</v>
      </c>
      <c r="G18" s="1">
        <v>0</v>
      </c>
      <c r="H18" s="7" t="s">
        <v>65</v>
      </c>
      <c r="I18" s="1">
        <f>(D18/parameters!$B$4)*inputs_df!E18</f>
        <v>1.9536E-4</v>
      </c>
      <c r="J18">
        <f>(parameters!$B$4*parameters!$B$6)/(parameters!$B$3/inputs_df!E18)</f>
        <v>161269680</v>
      </c>
    </row>
    <row r="19" spans="1:10" ht="15" thickBot="1">
      <c r="A19" s="6">
        <v>18</v>
      </c>
      <c r="B19" s="6">
        <v>5.5</v>
      </c>
      <c r="C19" s="6">
        <v>2.5</v>
      </c>
      <c r="D19" s="8">
        <v>60</v>
      </c>
      <c r="E19" s="8">
        <v>4.72</v>
      </c>
      <c r="F19" s="4">
        <f t="shared" si="0"/>
        <v>3.3039999999999998</v>
      </c>
      <c r="G19" s="1">
        <v>0</v>
      </c>
      <c r="H19" s="7" t="s">
        <v>66</v>
      </c>
      <c r="I19" s="1">
        <f>(D19/parameters!$B$4)*inputs_df!E19</f>
        <v>2.832E-4</v>
      </c>
      <c r="J19">
        <f>(parameters!$B$4*parameters!$B$6)/(parameters!$B$3/inputs_df!E19)</f>
        <v>342879679.99999994</v>
      </c>
    </row>
    <row r="20" spans="1:10" ht="15" thickBot="1">
      <c r="A20" s="6">
        <v>19</v>
      </c>
      <c r="B20" s="6">
        <v>0.5</v>
      </c>
      <c r="C20" s="6">
        <v>3.5</v>
      </c>
      <c r="D20" s="8">
        <v>60</v>
      </c>
      <c r="E20" s="8">
        <v>4.72</v>
      </c>
      <c r="F20" s="4">
        <f t="shared" si="0"/>
        <v>3.3039999999999998</v>
      </c>
      <c r="G20" s="1">
        <v>0</v>
      </c>
      <c r="H20" s="7" t="s">
        <v>40</v>
      </c>
      <c r="I20" s="1">
        <f>(D20/parameters!$B$4)*inputs_df!E20</f>
        <v>2.832E-4</v>
      </c>
      <c r="J20">
        <f>(parameters!$B$4*parameters!$B$6)/(parameters!$B$3/inputs_df!E20)</f>
        <v>342879679.99999994</v>
      </c>
    </row>
    <row r="21" spans="1:10" ht="15" thickBot="1">
      <c r="A21" s="6">
        <v>20</v>
      </c>
      <c r="B21" s="6">
        <v>1.5</v>
      </c>
      <c r="C21" s="6">
        <v>3.5</v>
      </c>
      <c r="D21" s="8">
        <v>88</v>
      </c>
      <c r="E21" s="8">
        <v>1.25</v>
      </c>
      <c r="F21" s="4">
        <f t="shared" si="0"/>
        <v>0.875</v>
      </c>
      <c r="G21" s="1">
        <v>0</v>
      </c>
      <c r="H21" s="7" t="s">
        <v>63</v>
      </c>
      <c r="I21" s="1">
        <f>(D21/parameters!$B$4)*inputs_df!E21</f>
        <v>1.0999999999999999E-4</v>
      </c>
      <c r="J21">
        <f>(parameters!$B$4*parameters!$B$6)/(parameters!$B$3/inputs_df!E21)</f>
        <v>90805000</v>
      </c>
    </row>
    <row r="22" spans="1:10" ht="15" thickBot="1">
      <c r="A22" s="6">
        <v>21</v>
      </c>
      <c r="B22" s="6">
        <v>2.5</v>
      </c>
      <c r="C22" s="6">
        <v>3.5</v>
      </c>
      <c r="D22" s="8">
        <v>98</v>
      </c>
      <c r="E22" s="8">
        <v>0.28999999999999998</v>
      </c>
      <c r="F22" s="4">
        <f t="shared" si="0"/>
        <v>0.20299999999999996</v>
      </c>
      <c r="G22" s="1">
        <v>0</v>
      </c>
      <c r="H22" s="7" t="s">
        <v>64</v>
      </c>
      <c r="I22" s="1">
        <f>(D22/parameters!$B$4)*inputs_df!E22</f>
        <v>2.8419999999999996E-5</v>
      </c>
      <c r="J22">
        <f>(parameters!$B$4*parameters!$B$6)/(parameters!$B$3/inputs_df!E22)</f>
        <v>21066760</v>
      </c>
    </row>
    <row r="23" spans="1:10" ht="15" thickBot="1">
      <c r="A23" s="6">
        <v>22</v>
      </c>
      <c r="B23" s="6">
        <v>3.5</v>
      </c>
      <c r="C23" s="6">
        <v>3.5</v>
      </c>
      <c r="D23" s="8">
        <v>98</v>
      </c>
      <c r="E23" s="8">
        <v>0.28999999999999998</v>
      </c>
      <c r="F23" s="4">
        <f t="shared" si="0"/>
        <v>0.20299999999999996</v>
      </c>
      <c r="G23" s="1">
        <v>1</v>
      </c>
      <c r="H23" s="7" t="s">
        <v>36</v>
      </c>
      <c r="I23" s="1">
        <f>(D23/parameters!$B$4)*inputs_df!E23</f>
        <v>2.8419999999999996E-5</v>
      </c>
      <c r="J23">
        <f>(parameters!$B$4*parameters!$B$6)/(parameters!$B$3/inputs_df!E23)</f>
        <v>21066760</v>
      </c>
    </row>
    <row r="24" spans="1:10" ht="15" thickBot="1">
      <c r="A24" s="6">
        <v>23</v>
      </c>
      <c r="B24" s="6">
        <v>4.5</v>
      </c>
      <c r="C24" s="6">
        <v>3.5</v>
      </c>
      <c r="D24" s="8">
        <v>88</v>
      </c>
      <c r="E24" s="8">
        <v>1.25</v>
      </c>
      <c r="F24" s="4">
        <f t="shared" si="0"/>
        <v>0.875</v>
      </c>
      <c r="G24" s="1">
        <v>0</v>
      </c>
      <c r="H24" s="7" t="s">
        <v>50</v>
      </c>
      <c r="I24" s="1">
        <f>(D24/parameters!$B$4)*inputs_df!E24</f>
        <v>1.0999999999999999E-4</v>
      </c>
      <c r="J24">
        <f>(parameters!$B$4*parameters!$B$6)/(parameters!$B$3/inputs_df!E24)</f>
        <v>90805000</v>
      </c>
    </row>
    <row r="25" spans="1:10" ht="15" thickBot="1">
      <c r="A25" s="6">
        <v>24</v>
      </c>
      <c r="B25" s="6">
        <v>5.5</v>
      </c>
      <c r="C25" s="6">
        <v>3.5</v>
      </c>
      <c r="D25" s="8">
        <v>60</v>
      </c>
      <c r="E25" s="8">
        <v>4.72</v>
      </c>
      <c r="F25" s="4">
        <f t="shared" si="0"/>
        <v>3.3039999999999998</v>
      </c>
      <c r="G25" s="1">
        <v>0</v>
      </c>
      <c r="H25" s="7" t="s">
        <v>41</v>
      </c>
      <c r="I25" s="1">
        <f>(D25/parameters!$B$4)*inputs_df!E25</f>
        <v>2.832E-4</v>
      </c>
      <c r="J25">
        <f>(parameters!$B$4*parameters!$B$6)/(parameters!$B$3/inputs_df!E25)</f>
        <v>342879679.99999994</v>
      </c>
    </row>
    <row r="26" spans="1:10" ht="15" thickBot="1">
      <c r="A26" s="6">
        <v>25</v>
      </c>
      <c r="B26" s="6">
        <v>0.5</v>
      </c>
      <c r="C26" s="6">
        <v>4.5</v>
      </c>
      <c r="D26" s="8">
        <v>41</v>
      </c>
      <c r="E26" s="8">
        <v>12.11</v>
      </c>
      <c r="F26" s="4">
        <f t="shared" si="0"/>
        <v>8.4769999999999985</v>
      </c>
      <c r="G26" s="1">
        <v>0</v>
      </c>
      <c r="H26" s="7" t="s">
        <v>57</v>
      </c>
      <c r="I26" s="1">
        <f>(D26/parameters!$B$4)*inputs_df!E26</f>
        <v>4.9651000000000003E-4</v>
      </c>
      <c r="J26">
        <f>(parameters!$B$4*parameters!$B$6)/(parameters!$B$3/inputs_df!E26)</f>
        <v>879718840</v>
      </c>
    </row>
    <row r="27" spans="1:10" ht="15" thickBot="1">
      <c r="A27" s="6">
        <v>26</v>
      </c>
      <c r="B27" s="6">
        <v>1.5</v>
      </c>
      <c r="C27" s="6">
        <v>4.5</v>
      </c>
      <c r="D27" s="8">
        <v>0</v>
      </c>
      <c r="E27" s="8">
        <v>0</v>
      </c>
      <c r="F27" s="4">
        <f t="shared" si="0"/>
        <v>0</v>
      </c>
      <c r="G27" s="1">
        <v>2</v>
      </c>
      <c r="H27" s="7"/>
      <c r="I27" s="1">
        <f>(D27/parameters!$B$4)*inputs_df!E27</f>
        <v>0</v>
      </c>
      <c r="J27">
        <v>0</v>
      </c>
    </row>
    <row r="28" spans="1:10" ht="15" thickBot="1">
      <c r="A28" s="6">
        <v>27</v>
      </c>
      <c r="B28" s="6">
        <v>2.5</v>
      </c>
      <c r="C28" s="6">
        <v>4.5</v>
      </c>
      <c r="D28" s="8">
        <v>88</v>
      </c>
      <c r="E28" s="8">
        <v>2.2200000000000002</v>
      </c>
      <c r="F28" s="4">
        <f t="shared" si="0"/>
        <v>1.554</v>
      </c>
      <c r="G28" s="1">
        <v>1</v>
      </c>
      <c r="H28" s="7" t="s">
        <v>51</v>
      </c>
      <c r="I28" s="1">
        <f>(D28/parameters!$B$4)*inputs_df!E28</f>
        <v>1.9536E-4</v>
      </c>
      <c r="J28">
        <f>(parameters!$B$4*parameters!$B$6)/(parameters!$B$3/inputs_df!E28)</f>
        <v>161269680</v>
      </c>
    </row>
    <row r="29" spans="1:10" ht="15" thickBot="1">
      <c r="A29" s="6">
        <v>28</v>
      </c>
      <c r="B29" s="6">
        <v>3.5</v>
      </c>
      <c r="C29" s="6">
        <v>4.5</v>
      </c>
      <c r="D29" s="8">
        <v>88</v>
      </c>
      <c r="E29" s="8">
        <v>2.2200000000000002</v>
      </c>
      <c r="F29" s="4">
        <f t="shared" si="0"/>
        <v>1.554</v>
      </c>
      <c r="G29" s="1">
        <v>0</v>
      </c>
      <c r="H29" s="7" t="s">
        <v>52</v>
      </c>
      <c r="I29" s="1">
        <f>(D29/parameters!$B$4)*inputs_df!E29</f>
        <v>1.9536E-4</v>
      </c>
      <c r="J29">
        <f>(parameters!$B$4*parameters!$B$6)/(parameters!$B$3/inputs_df!E29)</f>
        <v>161269680</v>
      </c>
    </row>
    <row r="30" spans="1:10" ht="15" thickBot="1">
      <c r="A30" s="6">
        <v>29</v>
      </c>
      <c r="B30" s="6">
        <v>4.5</v>
      </c>
      <c r="C30" s="6">
        <v>4.5</v>
      </c>
      <c r="D30" s="8">
        <v>0</v>
      </c>
      <c r="E30" s="8">
        <v>0</v>
      </c>
      <c r="F30" s="4">
        <f t="shared" si="0"/>
        <v>0</v>
      </c>
      <c r="G30" s="1">
        <v>2</v>
      </c>
      <c r="H30" s="7"/>
      <c r="I30" s="1">
        <f>(D30/parameters!$B$4)*inputs_df!E30</f>
        <v>0</v>
      </c>
      <c r="J30">
        <v>0</v>
      </c>
    </row>
    <row r="31" spans="1:10" ht="15" thickBot="1">
      <c r="A31" s="6">
        <v>30</v>
      </c>
      <c r="B31" s="6">
        <v>5.5</v>
      </c>
      <c r="C31" s="6">
        <v>4.5</v>
      </c>
      <c r="D31" s="8">
        <v>41</v>
      </c>
      <c r="E31" s="8">
        <v>15.98</v>
      </c>
      <c r="F31" s="4">
        <f t="shared" si="0"/>
        <v>11.186000000000002</v>
      </c>
      <c r="G31" s="1">
        <v>0</v>
      </c>
      <c r="H31" s="7" t="s">
        <v>53</v>
      </c>
      <c r="I31" s="1">
        <f>(D31/parameters!$B$4)*inputs_df!E31</f>
        <v>6.5518E-4</v>
      </c>
      <c r="J31">
        <f>(parameters!$B$4*parameters!$B$6)/(parameters!$B$3/inputs_df!E31)</f>
        <v>1160851120</v>
      </c>
    </row>
    <row r="32" spans="1:10" ht="15" thickBot="1">
      <c r="A32" s="6">
        <v>31</v>
      </c>
      <c r="B32" s="6">
        <v>0.5</v>
      </c>
      <c r="C32" s="6">
        <v>5.5</v>
      </c>
      <c r="D32" s="8">
        <v>21</v>
      </c>
      <c r="E32" s="8">
        <v>20.69</v>
      </c>
      <c r="F32" s="4">
        <f t="shared" si="0"/>
        <v>14.483000000000002</v>
      </c>
      <c r="G32" s="1">
        <v>0</v>
      </c>
      <c r="H32" s="7" t="s">
        <v>42</v>
      </c>
      <c r="I32" s="1">
        <f>(D32/parameters!$B$4)*inputs_df!E32</f>
        <v>4.3449E-4</v>
      </c>
      <c r="J32">
        <f>(parameters!$B$4*parameters!$B$6)/(parameters!$B$3/inputs_df!E32)</f>
        <v>1503004360.0000002</v>
      </c>
    </row>
    <row r="33" spans="1:10" ht="15" thickBot="1">
      <c r="A33" s="6">
        <v>32</v>
      </c>
      <c r="B33" s="6">
        <v>1.5</v>
      </c>
      <c r="C33" s="6">
        <v>5.5</v>
      </c>
      <c r="D33" s="8">
        <v>41</v>
      </c>
      <c r="E33" s="8">
        <v>15.98</v>
      </c>
      <c r="F33" s="4">
        <f t="shared" si="0"/>
        <v>11.186000000000002</v>
      </c>
      <c r="G33" s="1">
        <v>1</v>
      </c>
      <c r="H33" s="7" t="s">
        <v>54</v>
      </c>
      <c r="I33" s="1">
        <f>(D33/parameters!$B$4)*inputs_df!E33</f>
        <v>6.5518E-4</v>
      </c>
      <c r="J33">
        <f>(parameters!$B$4*parameters!$B$6)/(parameters!$B$3/inputs_df!E33)</f>
        <v>1160851120</v>
      </c>
    </row>
    <row r="34" spans="1:10" ht="15" thickBot="1">
      <c r="A34" s="6">
        <v>33</v>
      </c>
      <c r="B34" s="6">
        <v>2.5</v>
      </c>
      <c r="C34" s="6">
        <v>5.5</v>
      </c>
      <c r="D34" s="8">
        <v>60</v>
      </c>
      <c r="E34" s="8">
        <v>8.94</v>
      </c>
      <c r="F34" s="4">
        <f t="shared" si="0"/>
        <v>6.2579999999999991</v>
      </c>
      <c r="G34" s="1">
        <v>0</v>
      </c>
      <c r="H34" s="7" t="s">
        <v>43</v>
      </c>
      <c r="I34" s="1">
        <f>(D34/parameters!$B$4)*inputs_df!E34</f>
        <v>5.3640000000000003E-4</v>
      </c>
      <c r="J34">
        <f>(parameters!$B$4*parameters!$B$6)/(parameters!$B$3/inputs_df!E34)</f>
        <v>649437359.99999988</v>
      </c>
    </row>
    <row r="35" spans="1:10" ht="15" thickBot="1">
      <c r="A35" s="6">
        <v>34</v>
      </c>
      <c r="B35" s="6">
        <v>3.5</v>
      </c>
      <c r="C35" s="6">
        <v>5.5</v>
      </c>
      <c r="D35" s="8">
        <v>60</v>
      </c>
      <c r="E35" s="8">
        <v>4.72</v>
      </c>
      <c r="F35" s="4">
        <f t="shared" si="0"/>
        <v>3.3039999999999998</v>
      </c>
      <c r="G35" s="1">
        <v>0</v>
      </c>
      <c r="H35" s="7" t="s">
        <v>44</v>
      </c>
      <c r="I35" s="1">
        <f>(D35/parameters!$B$4)*inputs_df!E35</f>
        <v>2.832E-4</v>
      </c>
      <c r="J35">
        <f>(parameters!$B$4*parameters!$B$6)/(parameters!$B$3/inputs_df!E35)</f>
        <v>342879679.99999994</v>
      </c>
    </row>
    <row r="36" spans="1:10" ht="15" thickBot="1">
      <c r="A36" s="6">
        <v>35</v>
      </c>
      <c r="B36" s="6">
        <v>4.5</v>
      </c>
      <c r="C36" s="6">
        <v>5.5</v>
      </c>
      <c r="D36" s="8">
        <v>41</v>
      </c>
      <c r="E36" s="8">
        <v>15.98</v>
      </c>
      <c r="F36" s="4">
        <f t="shared" si="0"/>
        <v>11.186000000000002</v>
      </c>
      <c r="G36" s="1">
        <v>1</v>
      </c>
      <c r="H36" s="7" t="s">
        <v>55</v>
      </c>
      <c r="I36" s="1">
        <f>(D36/parameters!$B$4)*inputs_df!E36</f>
        <v>6.5518E-4</v>
      </c>
      <c r="J36">
        <f>(parameters!$B$4*parameters!$B$6)/(parameters!$B$3/inputs_df!E36)</f>
        <v>1160851120</v>
      </c>
    </row>
    <row r="37" spans="1:10" ht="15" thickBot="1">
      <c r="A37" s="6">
        <v>36</v>
      </c>
      <c r="B37" s="6">
        <v>5.5</v>
      </c>
      <c r="C37" s="6">
        <v>5.5</v>
      </c>
      <c r="D37" s="8">
        <v>21</v>
      </c>
      <c r="E37" s="8">
        <v>20.69</v>
      </c>
      <c r="F37" s="4">
        <f t="shared" si="0"/>
        <v>14.483000000000002</v>
      </c>
      <c r="G37" s="1">
        <v>0</v>
      </c>
      <c r="H37" s="7" t="s">
        <v>45</v>
      </c>
      <c r="I37" s="1">
        <f>(D37/parameters!$B$4)*inputs_df!E37</f>
        <v>4.3449E-4</v>
      </c>
      <c r="J37">
        <f>(parameters!$B$4*parameters!$B$6)/(parameters!$B$3/inputs_df!E37)</f>
        <v>1503004360.0000002</v>
      </c>
    </row>
  </sheetData>
  <autoFilter ref="A1:J37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CC02-1A1F-476A-8123-C8A4493A0DCA}">
  <dimension ref="A1:F14"/>
  <sheetViews>
    <sheetView workbookViewId="0">
      <selection activeCell="I14" sqref="I14"/>
    </sheetView>
  </sheetViews>
  <sheetFormatPr defaultRowHeight="14.4"/>
  <cols>
    <col min="2" max="3" width="11.77734375" bestFit="1" customWidth="1"/>
    <col min="5" max="5" width="9.77734375" bestFit="1" customWidth="1"/>
    <col min="6" max="6" width="4.109375" bestFit="1" customWidth="1"/>
    <col min="10" max="10" width="9.77734375" bestFit="1" customWidth="1"/>
  </cols>
  <sheetData>
    <row r="1" spans="1:6">
      <c r="A1" t="s">
        <v>20</v>
      </c>
      <c r="B1" s="1" t="s">
        <v>1</v>
      </c>
      <c r="C1" s="1" t="s">
        <v>2</v>
      </c>
      <c r="D1" t="s">
        <v>26</v>
      </c>
      <c r="E1" t="s">
        <v>27</v>
      </c>
      <c r="F1" t="s">
        <v>28</v>
      </c>
    </row>
    <row r="2" spans="1:6">
      <c r="A2" t="s">
        <v>21</v>
      </c>
      <c r="B2">
        <v>0</v>
      </c>
      <c r="C2">
        <v>0</v>
      </c>
      <c r="D2">
        <v>5</v>
      </c>
      <c r="E2">
        <v>0</v>
      </c>
      <c r="F2">
        <v>0</v>
      </c>
    </row>
    <row r="3" spans="1:6">
      <c r="A3" t="s">
        <v>22</v>
      </c>
      <c r="B3">
        <v>2</v>
      </c>
      <c r="C3">
        <v>6</v>
      </c>
      <c r="D3">
        <v>0</v>
      </c>
      <c r="E3">
        <v>3</v>
      </c>
      <c r="F3">
        <v>2</v>
      </c>
    </row>
    <row r="4" spans="1:6">
      <c r="A4" t="s">
        <v>23</v>
      </c>
      <c r="B4">
        <v>6</v>
      </c>
      <c r="C4">
        <v>2</v>
      </c>
      <c r="D4">
        <v>0</v>
      </c>
      <c r="E4">
        <v>3</v>
      </c>
      <c r="F4">
        <v>2</v>
      </c>
    </row>
    <row r="5" spans="1:6">
      <c r="A5" t="s">
        <v>24</v>
      </c>
      <c r="B5">
        <v>5</v>
      </c>
      <c r="C5">
        <v>5</v>
      </c>
      <c r="D5">
        <v>0</v>
      </c>
      <c r="E5">
        <v>3</v>
      </c>
      <c r="F5">
        <v>2</v>
      </c>
    </row>
    <row r="6" spans="1:6">
      <c r="A6" t="s">
        <v>25</v>
      </c>
      <c r="B6">
        <v>2</v>
      </c>
      <c r="C6">
        <v>2</v>
      </c>
      <c r="D6">
        <v>0</v>
      </c>
      <c r="E6">
        <v>3</v>
      </c>
      <c r="F6">
        <v>2</v>
      </c>
    </row>
    <row r="10" spans="1:6">
      <c r="B10" s="5"/>
    </row>
    <row r="11" spans="1:6">
      <c r="B11" s="5"/>
    </row>
    <row r="12" spans="1:6">
      <c r="B12" s="5"/>
    </row>
    <row r="13" spans="1:6">
      <c r="B13" s="5"/>
    </row>
    <row r="14" spans="1:6">
      <c r="B14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C14"/>
  <sheetViews>
    <sheetView workbookViewId="0">
      <selection activeCell="B4" sqref="B4"/>
    </sheetView>
  </sheetViews>
  <sheetFormatPr defaultRowHeight="14.4"/>
  <cols>
    <col min="1" max="1" width="34.109375" bestFit="1" customWidth="1"/>
    <col min="2" max="2" width="18.88671875" bestFit="1" customWidth="1"/>
    <col min="3" max="3" width="64.44140625" bestFit="1" customWidth="1"/>
  </cols>
  <sheetData>
    <row r="1" spans="1:3">
      <c r="A1" s="2" t="s">
        <v>7</v>
      </c>
      <c r="B1" s="2" t="s">
        <v>8</v>
      </c>
      <c r="C1" s="2" t="s">
        <v>14</v>
      </c>
    </row>
    <row r="2" spans="1:3">
      <c r="A2" t="s">
        <v>12</v>
      </c>
      <c r="B2">
        <v>36</v>
      </c>
      <c r="C2" t="s">
        <v>15</v>
      </c>
    </row>
    <row r="3" spans="1:3">
      <c r="A3" t="s">
        <v>6</v>
      </c>
      <c r="B3">
        <v>500</v>
      </c>
      <c r="C3" t="s">
        <v>16</v>
      </c>
    </row>
    <row r="4" spans="1:3">
      <c r="A4" t="s">
        <v>13</v>
      </c>
      <c r="B4">
        <v>1000000</v>
      </c>
      <c r="C4" t="s">
        <v>16</v>
      </c>
    </row>
    <row r="5" spans="1:3">
      <c r="A5" t="s">
        <v>11</v>
      </c>
      <c r="B5">
        <v>24</v>
      </c>
      <c r="C5" t="s">
        <v>16</v>
      </c>
    </row>
    <row r="6" spans="1:3">
      <c r="A6" t="s">
        <v>19</v>
      </c>
      <c r="B6">
        <v>36322</v>
      </c>
    </row>
    <row r="7" spans="1:3">
      <c r="A7" t="s">
        <v>29</v>
      </c>
      <c r="B7">
        <v>166.67</v>
      </c>
    </row>
    <row r="8" spans="1:3">
      <c r="A8" t="s">
        <v>30</v>
      </c>
      <c r="B8">
        <v>2000</v>
      </c>
    </row>
    <row r="9" spans="1:3">
      <c r="A9" t="s">
        <v>31</v>
      </c>
      <c r="B9">
        <v>222.23</v>
      </c>
    </row>
    <row r="10" spans="1:3">
      <c r="A10" t="s">
        <v>32</v>
      </c>
      <c r="B10">
        <v>500</v>
      </c>
    </row>
    <row r="11" spans="1:3">
      <c r="A11" t="s">
        <v>33</v>
      </c>
      <c r="B11">
        <v>25</v>
      </c>
    </row>
    <row r="12" spans="1:3">
      <c r="A12" t="s">
        <v>34</v>
      </c>
      <c r="B12">
        <v>1000</v>
      </c>
    </row>
    <row r="14" spans="1:3">
      <c r="A14" s="3"/>
      <c r="B14" s="3"/>
      <c r="C1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inputs_df</vt:lpstr>
      <vt:lpstr>bases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2026-01-29T13:05:58Z</dcterms:modified>
</cp:coreProperties>
</file>